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示例输入" state="visible" r:id="rId5"/>
    <sheet sheetId="3" name="指标参数" state="visible" r:id="rId6"/>
    <sheet sheetId="4" name="评分计算" state="visible" r:id="rId7"/>
    <sheet sheetId="5" name="六维总览" state="visible" r:id="rId8"/>
    <sheet sheetId="6" name="连锁诊断" state="visible" r:id="rId9"/>
    <sheet sheetId="7" name="建议库" state="visible" r:id="rId10"/>
  </sheets>
  <calcPr calcId="171027"/>
</workbook>
</file>

<file path=xl/sharedStrings.xml><?xml version="1.0" encoding="utf-8"?>
<sst xmlns="http://schemas.openxmlformats.org/spreadsheetml/2006/main" count="389" uniqueCount="253">
  <si>
    <t>单身期家庭资产诊断 MVP</t>
  </si>
  <si>
    <t>使用两张家庭财务报表进行六维评分、风险识别、连锁诊断和改善建议。</t>
  </si>
  <si>
    <t>使用顺序</t>
  </si>
  <si>
    <t>1. 在“示例输入”中替换家庭数据；2. 查看“评分计算”和“六维总览”；3. 查看“连锁诊断”和“建议库”；4. 用样本家庭回测阈值。</t>
  </si>
  <si>
    <t>评分原则</t>
  </si>
  <si>
    <t>底层计算保持严格，展示层可以友好表达；红灯硬性风险不得被综合分稀释。</t>
  </si>
  <si>
    <t>MVP 边界</t>
  </si>
  <si>
    <t>本工具只输出方向性资产结构建议，不输出具体金融产品、保险产品或投资标的建议。</t>
  </si>
  <si>
    <t>同步文档</t>
  </si>
  <si>
    <t>对应 MD：docs/superpowers/specs/2026-05-20-single-stage-family-asset-diagnosis-design.md</t>
  </si>
  <si>
    <t>示例输入</t>
  </si>
  <si>
    <t>当前填入一个中等收入单身样本，可直接替换 B 列数值进行测试。</t>
  </si>
  <si>
    <t>资产负债表</t>
  </si>
  <si>
    <t>金额</t>
  </si>
  <si>
    <t>单位</t>
  </si>
  <si>
    <t>说明</t>
  </si>
  <si>
    <t>总资产</t>
  </si>
  <si>
    <t>元</t>
  </si>
  <si>
    <t>全部资产合计</t>
  </si>
  <si>
    <t>总负债</t>
  </si>
  <si>
    <t>房贷、车贷、消费贷等合计</t>
  </si>
  <si>
    <t>净资产</t>
  </si>
  <si>
    <t>总资产 - 总负债</t>
  </si>
  <si>
    <t>流动资产</t>
  </si>
  <si>
    <t>现金、活期、货币基金等</t>
  </si>
  <si>
    <t>短期负债</t>
  </si>
  <si>
    <t>一年内需偿还的短期债务</t>
  </si>
  <si>
    <t>生息资产</t>
  </si>
  <si>
    <t>可产生利息、分红、收益的资产</t>
  </si>
  <si>
    <t>可投资资产</t>
  </si>
  <si>
    <t>流动资产 + 可配置投资资产</t>
  </si>
  <si>
    <t>长期投资资产</t>
  </si>
  <si>
    <t>基金、股票、养老金账户等长期资产</t>
  </si>
  <si>
    <t>年被动收入</t>
  </si>
  <si>
    <t>理财、股息、租金等非工作收入</t>
  </si>
  <si>
    <t>年投资收益</t>
  </si>
  <si>
    <t>当年投资收益</t>
  </si>
  <si>
    <t>期初投资资产</t>
  </si>
  <si>
    <t>用于计算投资报酬率</t>
  </si>
  <si>
    <t>收支储蓄表</t>
  </si>
  <si>
    <t>年收入</t>
  </si>
  <si>
    <t>税后总收入</t>
  </si>
  <si>
    <t>年支出</t>
  </si>
  <si>
    <t>全年总支出</t>
  </si>
  <si>
    <t>月必要支出</t>
  </si>
  <si>
    <t>必要生活成本、房租房贷、基本开销</t>
  </si>
  <si>
    <t>固定支出</t>
  </si>
  <si>
    <t>房租/房贷、通勤、基本生活等刚性支出</t>
  </si>
  <si>
    <t>年债务本息支出</t>
  </si>
  <si>
    <t>全年还款本金和利息</t>
  </si>
  <si>
    <t>高息消费贷余额</t>
  </si>
  <si>
    <t>信用卡滚债、消费贷等</t>
  </si>
  <si>
    <t>年保费</t>
  </si>
  <si>
    <t>商业保险年保费</t>
  </si>
  <si>
    <t>已配置基础保障项</t>
  </si>
  <si>
    <t>项</t>
  </si>
  <si>
    <t>医保、意外、重疾等</t>
  </si>
  <si>
    <t>应配置基础保障项</t>
  </si>
  <si>
    <t>单身期 MVP 默认 3 项</t>
  </si>
  <si>
    <t>有效重大风险保障额度</t>
  </si>
  <si>
    <t>可覆盖重大疾病、意外、收入中断等风险的额度</t>
  </si>
  <si>
    <t>指标参数</t>
  </si>
  <si>
    <t>参数表是后续校准的核心：权重、m、k 和锚点都应可配置。</t>
  </si>
  <si>
    <t>维度</t>
  </si>
  <si>
    <t>维度权重</t>
  </si>
  <si>
    <t>指标</t>
  </si>
  <si>
    <t>维度内权重</t>
  </si>
  <si>
    <t>公式</t>
  </si>
  <si>
    <t>方向</t>
  </si>
  <si>
    <t>m</t>
  </si>
  <si>
    <t>k</t>
  </si>
  <si>
    <t>评分类型</t>
  </si>
  <si>
    <t>经验锚点</t>
  </si>
  <si>
    <t>偿债能力</t>
  </si>
  <si>
    <t>资产负债率</t>
  </si>
  <si>
    <t>总负债 / 总资产</t>
  </si>
  <si>
    <t>越低越好</t>
  </si>
  <si>
    <t>s</t>
  </si>
  <si>
    <t>20%优，40%中点，60%警示</t>
  </si>
  <si>
    <t>债务偿付率</t>
  </si>
  <si>
    <t>年债务本息 / 年收入</t>
  </si>
  <si>
    <t>10%优，25%中点，40%警示</t>
  </si>
  <si>
    <t>高息负债收入比</t>
  </si>
  <si>
    <t>高息消费贷余额 / 年收入</t>
  </si>
  <si>
    <t>0%优，10%警示，20%红灯</t>
  </si>
  <si>
    <t>流动性</t>
  </si>
  <si>
    <t>紧急备用金倍数</t>
  </si>
  <si>
    <t>流动资产 / 月必要支出</t>
  </si>
  <si>
    <t>越高越好</t>
  </si>
  <si>
    <t>1个月红灯，3个月中点，5-6个月优</t>
  </si>
  <si>
    <t>净流动覆盖倍数</t>
  </si>
  <si>
    <t>(流动资产 - 短期负债) / 月必要支出</t>
  </si>
  <si>
    <t>0红灯，2中点，4优</t>
  </si>
  <si>
    <t>流动资产占比</t>
  </si>
  <si>
    <t>流动资产 / 总资产</t>
  </si>
  <si>
    <t>5%红灯，15%中点，30%优</t>
  </si>
  <si>
    <t>储蓄能力</t>
  </si>
  <si>
    <t>总结余率</t>
  </si>
  <si>
    <t>(收入 - 支出) / 收入</t>
  </si>
  <si>
    <t>5%红灯，20%中点，35%优</t>
  </si>
  <si>
    <t>自由储蓄率</t>
  </si>
  <si>
    <t>(收入 - 固定支出 - 债务本息) / 收入</t>
  </si>
  <si>
    <t>0%红灯，15%中点，30%优</t>
  </si>
  <si>
    <t>支出刚性比率</t>
  </si>
  <si>
    <t>固定支出 / 总支出</t>
  </si>
  <si>
    <t>40%优，60%中点，80%警示</t>
  </si>
  <si>
    <t>成长能力</t>
  </si>
  <si>
    <t>生息资产占比</t>
  </si>
  <si>
    <t>生息资产 / 总资产</t>
  </si>
  <si>
    <t>15%红灯，35%中点，55%优</t>
  </si>
  <si>
    <t>长期投资资产占比</t>
  </si>
  <si>
    <t>长期投资资产 / 可投资资产</t>
  </si>
  <si>
    <t>20%红灯，50%中点，70%优</t>
  </si>
  <si>
    <t>投资报酬率</t>
  </si>
  <si>
    <t>年投资收益 / 期初投资资产</t>
  </si>
  <si>
    <t>0%低，4%中点，8%优</t>
  </si>
  <si>
    <t>保障能力</t>
  </si>
  <si>
    <t>基础保障完整度</t>
  </si>
  <si>
    <t>已配置基础保障项 / 应配置基础保障项</t>
  </si>
  <si>
    <t>0-30%红灯，60%中点，100%优</t>
  </si>
  <si>
    <t>保费收入比</t>
  </si>
  <si>
    <t>年保费 / 年收入</t>
  </si>
  <si>
    <t>区间最优</t>
  </si>
  <si>
    <t>piecewise</t>
  </si>
  <si>
    <t>低于3%可能不足，5%-12%合理，高于20%过重</t>
  </si>
  <si>
    <t>重大风险覆盖倍数</t>
  </si>
  <si>
    <t>有效保障额度 / 年必要支出</t>
  </si>
  <si>
    <t>1倍红灯，3倍中点，6倍优</t>
  </si>
  <si>
    <t>财富自由度</t>
  </si>
  <si>
    <t>被动收入覆盖率</t>
  </si>
  <si>
    <t>年被动收入 / 年支出</t>
  </si>
  <si>
    <t>0%低，10%中点，30%优</t>
  </si>
  <si>
    <t>净资产支出倍数</t>
  </si>
  <si>
    <t>净资产 / 年支出</t>
  </si>
  <si>
    <t>0低，1倍中点，3倍优</t>
  </si>
  <si>
    <t>评分计算</t>
  </si>
  <si>
    <t>根据示例输入计算原始指标、S 曲线得分、状态和加权分。</t>
  </si>
  <si>
    <t>原始值</t>
  </si>
  <si>
    <t>展示值</t>
  </si>
  <si>
    <t>指标得分</t>
  </si>
  <si>
    <t>状态</t>
  </si>
  <si>
    <t>加权分</t>
  </si>
  <si>
    <t>公式口径</t>
  </si>
  <si>
    <t>26.7%</t>
  </si>
  <si>
    <t>30.6%</t>
  </si>
  <si>
    <t>16.7%</t>
  </si>
  <si>
    <t>2.8倍</t>
  </si>
  <si>
    <t>2.0倍</t>
  </si>
  <si>
    <t>6.7%</t>
  </si>
  <si>
    <t>11.1%</t>
  </si>
  <si>
    <t>70.0%</t>
  </si>
  <si>
    <t>24.8%</t>
  </si>
  <si>
    <t>69.7%</t>
  </si>
  <si>
    <t>5.2%</t>
  </si>
  <si>
    <t>66.7%</t>
  </si>
  <si>
    <t>4.4%</t>
  </si>
  <si>
    <t>3.0倍</t>
  </si>
  <si>
    <t>4.0%</t>
  </si>
  <si>
    <t>2.6倍</t>
  </si>
  <si>
    <t>六维总览</t>
  </si>
  <si>
    <t>综合分、六维分数、红黄绿状态和一句话诊断。</t>
  </si>
  <si>
    <t>整体处于基础待改善状态：偿债压力和储蓄能力会影响后续成长能力，流动性安全垫需要优先观察。</t>
  </si>
  <si>
    <t>权重</t>
  </si>
  <si>
    <t>维度得分</t>
  </si>
  <si>
    <t>定位</t>
  </si>
  <si>
    <t>颜色</t>
  </si>
  <si>
    <t>收入转化为资产的核心发动机</t>
  </si>
  <si>
    <t/>
  </si>
  <si>
    <t>防止突发事件击穿财务安全</t>
  </si>
  <si>
    <t>控制负债规模和还款压力</t>
  </si>
  <si>
    <t>转移重大风险，避免一次事故归零</t>
  </si>
  <si>
    <t>判断资产是否具备长期增值能力</t>
  </si>
  <si>
    <t>结果性指标，单身期低权重保留</t>
  </si>
  <si>
    <t>连锁诊断</t>
  </si>
  <si>
    <t>解释维度之间的传导关系：先找起点问题，再给前置修复动作。</t>
  </si>
  <si>
    <t>强度</t>
  </si>
  <si>
    <t>传导链条</t>
  </si>
  <si>
    <t>触发条件</t>
  </si>
  <si>
    <t>当前证据</t>
  </si>
  <si>
    <t>影响解释</t>
  </si>
  <si>
    <t>优先行动</t>
  </si>
  <si>
    <t>是否触发</t>
  </si>
  <si>
    <t>强</t>
  </si>
  <si>
    <t>储蓄能力 -&gt; 成长能力</t>
  </si>
  <si>
    <t>储蓄能力低于60分，或自由储蓄率低于10%</t>
  </si>
  <si>
    <t>储蓄能力 37.7 分，自由储蓄率 11.1%</t>
  </si>
  <si>
    <t>新增可投资资金不足，长期资产配置改善速度受限。</t>
  </si>
  <si>
    <t>先提高月度结余和自由储蓄率，再逐步增加长期投资资产。</t>
  </si>
  <si>
    <t>中</t>
  </si>
  <si>
    <t>储蓄能力 -&gt; 流动性</t>
  </si>
  <si>
    <t>总结余率低于10%，且紧急备用金低于3个月</t>
  </si>
  <si>
    <t>总结余率 16.7%，备用金 2.8倍</t>
  </si>
  <si>
    <t>很难靠未来现金流快速补足安全垫。</t>
  </si>
  <si>
    <t>压缩非必要支出，把新增结余优先补入流动账户。</t>
  </si>
  <si>
    <t>偿债能力 -&gt; 流动性</t>
  </si>
  <si>
    <t>债务偿付率高于30%，或高息负债收入比高于10%</t>
  </si>
  <si>
    <t>债务偿付率 30.6%，高息负债收入比 16.7%</t>
  </si>
  <si>
    <t>还款占用现金流，收入波动时更容易出现短期资金缺口。</t>
  </si>
  <si>
    <t>优先处理高息负债，并避免继续扩大固定还款义务。</t>
  </si>
  <si>
    <t>偿债能力 -&gt; 成长能力</t>
  </si>
  <si>
    <t>债务偿付率高于30%，且长期投资资产占比低于50%</t>
  </si>
  <si>
    <t>债务偿付率 30.6%，长期投资资产占比 69.7%</t>
  </si>
  <si>
    <t>债务支出挤压长期投资，资产增长速度受限。</t>
  </si>
  <si>
    <t>降低还款压力后，再提高长期投资资产占比。</t>
  </si>
  <si>
    <t>保障能力 -&gt; 流动性</t>
  </si>
  <si>
    <t>基础保障完整度低于60%，且紧急备用金低于3个月</t>
  </si>
  <si>
    <t>保障完整度 66.7%，备用金 2.8倍</t>
  </si>
  <si>
    <t>医疗、意外或收入中断事件可能快速消耗备用金。</t>
  </si>
  <si>
    <t>先补齐基础保障，再同步建立紧急备用金。</t>
  </si>
  <si>
    <t>流动性 -&gt; 成长能力</t>
  </si>
  <si>
    <t>紧急备用金低于3个月，且长期投资资产占比较高</t>
  </si>
  <si>
    <t>备用金 2.8倍，长期投资资产占比 69.7%</t>
  </si>
  <si>
    <t>安全垫不足时继续投资，突发支出时可能被迫卖出资产。</t>
  </si>
  <si>
    <t>暂停增加高波动资产，先把备用金补到3个月以上。</t>
  </si>
  <si>
    <t>弱</t>
  </si>
  <si>
    <t>成长能力 -&gt; 财富自由度</t>
  </si>
  <si>
    <t>成长能力低于60分，且被动收入覆盖率低于10%</t>
  </si>
  <si>
    <t>成长能力 55.8 分，被动收入覆盖率 4.0%</t>
  </si>
  <si>
    <t>资产缺乏增值和现金流贡献，财富自由进度偏慢。</t>
  </si>
  <si>
    <t>在安全底座稳定后，逐步提高生息资产和长期投资资产占比。</t>
  </si>
  <si>
    <t>建议库</t>
  </si>
  <si>
    <t>MVP 只输出方向性改善动作，不输出产品级推荐。</t>
  </si>
  <si>
    <t>优先级</t>
  </si>
  <si>
    <t>类别</t>
  </si>
  <si>
    <t>建议话术</t>
  </si>
  <si>
    <t>资产结构方向</t>
  </si>
  <si>
    <t>急性风险</t>
  </si>
  <si>
    <t>月结余 &lt; 0</t>
  </si>
  <si>
    <t>先让现金流转正，暂停非必要大额支出和高波动投资。</t>
  </si>
  <si>
    <t>提高现金类资产，减少消费性支出。</t>
  </si>
  <si>
    <t>紧急备用金 &lt; 3个月</t>
  </si>
  <si>
    <t>优先补足至少3个月必要支出的紧急备用金。</t>
  </si>
  <si>
    <t>新增结余优先进入现金/货币类账户。</t>
  </si>
  <si>
    <t>偿债</t>
  </si>
  <si>
    <t>高息负债收入比 &gt; 10%</t>
  </si>
  <si>
    <t>优先偿还高息消费贷，避免利息侵蚀储蓄能力。</t>
  </si>
  <si>
    <t>降低负债，释放现金流。</t>
  </si>
  <si>
    <t>保障</t>
  </si>
  <si>
    <t>基础保障完整度 &lt; 60%</t>
  </si>
  <si>
    <t>补齐医保、意外、重疾等基础保障，避免风险事件击穿资产。</t>
  </si>
  <si>
    <t>用合理保费换取重大风险转移。</t>
  </si>
  <si>
    <t>储蓄</t>
  </si>
  <si>
    <t>总结余率 &lt; 20%</t>
  </si>
  <si>
    <t>优化支出结构，提高收入转化为资产的效率。</t>
  </si>
  <si>
    <t>提高每月可投资现金流。</t>
  </si>
  <si>
    <t>成长</t>
  </si>
  <si>
    <t>生息资产占比 &lt; 35%</t>
  </si>
  <si>
    <t>在流动性安全后，逐步提高生息资产和长期资产占比。</t>
  </si>
  <si>
    <t>从闲置资金转向长期增值资产。</t>
  </si>
  <si>
    <t>自由度</t>
  </si>
  <si>
    <t>被动收入覆盖率 &lt; 10%</t>
  </si>
  <si>
    <t>财富自由度是结果指标，先修复储蓄、负债、流动性和成长能力。</t>
  </si>
  <si>
    <t>长期提高资产现金流贡献。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</si>
</sst>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7" x14ac:knownFonts="1">
    <font>
      <color theme="1"/>
      <family val="2"/>
      <scheme val="minor"/>
      <sz val="11"/>
      <name val="Calibri"/>
    </font>
    <font>
      <b/>
      <color rgb="1F2937"/>
      <sz val="18"/>
      <name val="Microsoft YaHei"/>
    </font>
    <font>
      <color rgb="6B7280"/>
      <sz val="10"/>
      <name val="Microsoft YaHei"/>
    </font>
    <font>
      <sz val="10"/>
      <name val="Microsoft YaHei"/>
    </font>
    <font>
      <b/>
      <color rgb="374151"/>
      <name val="Microsoft YaHei"/>
    </font>
    <font>
      <b/>
      <color rgb="111827"/>
      <sz val="28"/>
      <name val="Microsoft YaHei"/>
    </font>
    <font>
      <b/>
      <color rgb="B91C1C"/>
      <name val="Microsoft YaHei"/>
    </font>
  </fonts>
  <fills count="9">
    <fill>
      <patternFill patternType="none"/>
    </fill>
    <fill>
      <patternFill patternType="gray125"/>
    </fill>
    <fill>
      <patternFill patternType="solid">
        <fgColor rgb="F3F0E8"/>
      </patternFill>
    </fill>
    <fill>
      <patternFill patternType="solid">
        <fgColor rgb="21A67A"/>
      </patternFill>
    </fill>
    <fill>
      <patternFill patternType="solid">
        <fgColor rgb="3D8FE3"/>
      </patternFill>
    </fill>
    <fill>
      <patternFill patternType="solid">
        <fgColor rgb="E05A34"/>
      </patternFill>
    </fill>
    <fill>
      <patternFill patternType="solid">
        <fgColor rgb="7D70E6"/>
      </patternFill>
    </fill>
    <fill>
      <patternFill patternType="solid">
        <fgColor rgb="5A9E28"/>
      </patternFill>
    </fill>
    <fill>
      <patternFill patternType="solid">
        <fgColor rgb="BF7B11"/>
      </patternFill>
    </fill>
  </fills>
  <borders count="2">
    <border>
      <left/>
      <right/>
      <top/>
      <bottom/>
      <diagonal/>
    </border>
    <border>
      <left style="thin">
        <color rgb="D9D6CC"/>
      </left>
      <right style="thin">
        <color rgb="D9D6CC"/>
      </right>
      <top style="thin">
        <color rgb="D9D6CC"/>
      </top>
      <bottom style="thin">
        <color rgb="D9D6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3" fontId="0" fillId="0" borderId="0" xfId="0" applyNumberFormat="1"/>
    <xf numFmtId="3" fontId="1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vertical="center"/>
    </xf>
    <xf numFmtId="3" fontId="3" fillId="0" borderId="1" xfId="0" applyNumberFormat="1" applyFont="1" applyBorder="1" applyAlignment="1">
      <alignment vertical="center" wrapText="1"/>
    </xf>
    <xf numFmtId="9" fontId="0" fillId="0" borderId="0" xfId="0" applyNumberFormat="1"/>
    <xf numFmtId="2" fontId="0" fillId="0" borderId="0" xfId="0" applyNumberFormat="1"/>
    <xf numFmtId="2" fontId="1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 wrapText="1"/>
    </xf>
    <xf numFmtId="9" fontId="4" fillId="2" borderId="1" xfId="0" applyNumberFormat="1" applyFont="1" applyFill="1" applyBorder="1" applyAlignment="1">
      <alignment vertical="center"/>
    </xf>
    <xf numFmtId="2" fontId="4" fillId="2" borderId="1" xfId="0" applyNumberFormat="1" applyFont="1" applyFill="1" applyBorder="1" applyAlignment="1">
      <alignment vertical="center"/>
    </xf>
    <xf numFmtId="9" fontId="3" fillId="0" borderId="1" xfId="0" applyNumberFormat="1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65" fontId="1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 wrapText="1"/>
    </xf>
    <xf numFmtId="164" fontId="4" fillId="2" borderId="1" xfId="0" applyNumberFormat="1" applyFont="1" applyFill="1" applyBorder="1" applyAlignment="1">
      <alignment vertical="center"/>
    </xf>
    <xf numFmtId="165" fontId="4" fillId="2" borderId="1" xfId="0" applyNumberFormat="1" applyFont="1" applyFill="1" applyBorder="1" applyAlignment="1">
      <alignment vertical="center"/>
    </xf>
    <xf numFmtId="164" fontId="3" fillId="0" borderId="1" xfId="0" applyNumberFormat="1" applyFont="1" applyBorder="1" applyAlignment="1">
      <alignment vertical="center" wrapText="1"/>
    </xf>
    <xf numFmtId="165" fontId="3" fillId="0" borderId="1" xfId="0" applyNumberFormat="1" applyFont="1" applyBorder="1" applyAlignment="1">
      <alignment vertical="center" wrapText="1"/>
    </xf>
    <xf numFmtId="9" fontId="5" fillId="0" borderId="1" xfId="0" applyNumberFormat="1" applyFont="1" applyBorder="1" applyAlignment="1">
      <alignment vertical="center" wrapText="1"/>
    </xf>
    <xf numFmtId="165" fontId="6" fillId="0" borderId="1" xfId="0" applyNumberFormat="1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80" customWidth="1"/>
    <col min="3" max="8" width="18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5</v>
      </c>
    </row>
    <row r="6" spans="1:2" x14ac:dyDescent="0.25">
      <c r="A6" s="3" t="s">
        <v>6</v>
      </c>
      <c r="B6" s="3" t="s">
        <v>7</v>
      </c>
    </row>
    <row r="7" spans="1:2" x14ac:dyDescent="0.25">
      <c r="A7" s="3" t="s">
        <v>8</v>
      </c>
      <c r="B7" s="3" t="s">
        <v>9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18" style="4" customWidth="1"/>
    <col min="3" max="3" width="18" customWidth="1"/>
    <col min="4" max="4" width="42" customWidth="1"/>
  </cols>
  <sheetData>
    <row r="1" ht="30" customHeight="1" spans="1:8" x14ac:dyDescent="0.25">
      <c r="A1" s="5" t="s">
        <v>10</v>
      </c>
      <c r="B1" s="5"/>
      <c r="C1" s="5"/>
      <c r="D1" s="5"/>
      <c r="E1" s="5"/>
      <c r="F1" s="5"/>
      <c r="G1" s="5"/>
      <c r="H1" s="5"/>
    </row>
    <row r="2" spans="1:8" x14ac:dyDescent="0.25">
      <c r="A2" s="6" t="s">
        <v>11</v>
      </c>
      <c r="B2" s="6"/>
      <c r="C2" s="6"/>
      <c r="D2" s="6"/>
      <c r="E2" s="6"/>
      <c r="F2" s="6"/>
      <c r="G2" s="6"/>
      <c r="H2" s="6"/>
    </row>
    <row r="4" spans="1:4" x14ac:dyDescent="0.25">
      <c r="A4" s="7" t="s">
        <v>12</v>
      </c>
      <c r="B4" s="8" t="s">
        <v>13</v>
      </c>
      <c r="C4" s="7" t="s">
        <v>14</v>
      </c>
      <c r="D4" s="7" t="s">
        <v>15</v>
      </c>
    </row>
    <row r="5" spans="1:4" x14ac:dyDescent="0.25">
      <c r="A5" s="3" t="s">
        <v>16</v>
      </c>
      <c r="B5" s="9">
        <v>1050000</v>
      </c>
      <c r="C5" s="3" t="s">
        <v>17</v>
      </c>
      <c r="D5" s="3" t="s">
        <v>18</v>
      </c>
    </row>
    <row r="6" spans="1:4" x14ac:dyDescent="0.25">
      <c r="A6" s="3" t="s">
        <v>19</v>
      </c>
      <c r="B6" s="9">
        <v>280000</v>
      </c>
      <c r="C6" s="3" t="s">
        <v>17</v>
      </c>
      <c r="D6" s="3" t="s">
        <v>20</v>
      </c>
    </row>
    <row r="7" spans="1:4" x14ac:dyDescent="0.25">
      <c r="A7" s="3" t="s">
        <v>21</v>
      </c>
      <c r="B7" s="9">
        <f>B5-B6</f>
        <v>770000</v>
      </c>
      <c r="C7" s="3" t="s">
        <v>17</v>
      </c>
      <c r="D7" s="3" t="s">
        <v>22</v>
      </c>
    </row>
    <row r="8" spans="1:4" x14ac:dyDescent="0.25">
      <c r="A8" s="3" t="s">
        <v>23</v>
      </c>
      <c r="B8" s="9">
        <v>70000</v>
      </c>
      <c r="C8" s="3" t="s">
        <v>17</v>
      </c>
      <c r="D8" s="3" t="s">
        <v>24</v>
      </c>
    </row>
    <row r="9" spans="1:4" x14ac:dyDescent="0.25">
      <c r="A9" s="3" t="s">
        <v>25</v>
      </c>
      <c r="B9" s="9">
        <v>20000</v>
      </c>
      <c r="C9" s="3" t="s">
        <v>17</v>
      </c>
      <c r="D9" s="3" t="s">
        <v>26</v>
      </c>
    </row>
    <row r="10" spans="1:4" x14ac:dyDescent="0.25">
      <c r="A10" s="3" t="s">
        <v>27</v>
      </c>
      <c r="B10" s="9">
        <v>260000</v>
      </c>
      <c r="C10" s="3" t="s">
        <v>17</v>
      </c>
      <c r="D10" s="3" t="s">
        <v>28</v>
      </c>
    </row>
    <row r="11" spans="1:4" x14ac:dyDescent="0.25">
      <c r="A11" s="3" t="s">
        <v>29</v>
      </c>
      <c r="B11" s="9">
        <v>330000</v>
      </c>
      <c r="C11" s="3" t="s">
        <v>17</v>
      </c>
      <c r="D11" s="3" t="s">
        <v>30</v>
      </c>
    </row>
    <row r="12" spans="1:4" x14ac:dyDescent="0.25">
      <c r="A12" s="3" t="s">
        <v>31</v>
      </c>
      <c r="B12" s="9">
        <v>230000</v>
      </c>
      <c r="C12" s="3" t="s">
        <v>17</v>
      </c>
      <c r="D12" s="3" t="s">
        <v>32</v>
      </c>
    </row>
    <row r="13" spans="1:4" x14ac:dyDescent="0.25">
      <c r="A13" s="3" t="s">
        <v>33</v>
      </c>
      <c r="B13" s="9">
        <v>12000</v>
      </c>
      <c r="C13" s="3" t="s">
        <v>17</v>
      </c>
      <c r="D13" s="3" t="s">
        <v>34</v>
      </c>
    </row>
    <row r="14" spans="1:4" x14ac:dyDescent="0.25">
      <c r="A14" s="3" t="s">
        <v>35</v>
      </c>
      <c r="B14" s="9">
        <v>12000</v>
      </c>
      <c r="C14" s="3" t="s">
        <v>17</v>
      </c>
      <c r="D14" s="3" t="s">
        <v>36</v>
      </c>
    </row>
    <row r="15" spans="1:4" x14ac:dyDescent="0.25">
      <c r="A15" s="3" t="s">
        <v>37</v>
      </c>
      <c r="B15" s="9">
        <v>230000</v>
      </c>
      <c r="C15" s="3" t="s">
        <v>17</v>
      </c>
      <c r="D15" s="3" t="s">
        <v>38</v>
      </c>
    </row>
    <row r="17" spans="1:4" x14ac:dyDescent="0.25">
      <c r="A17" s="3" t="s">
        <v>39</v>
      </c>
      <c r="B17" s="9" t="s">
        <v>13</v>
      </c>
      <c r="C17" s="3" t="s">
        <v>14</v>
      </c>
      <c r="D17" s="3" t="s">
        <v>15</v>
      </c>
    </row>
    <row r="18" spans="1:4" x14ac:dyDescent="0.25">
      <c r="A18" s="3" t="s">
        <v>40</v>
      </c>
      <c r="B18" s="9">
        <v>360000</v>
      </c>
      <c r="C18" s="3" t="s">
        <v>17</v>
      </c>
      <c r="D18" s="3" t="s">
        <v>41</v>
      </c>
    </row>
    <row r="19" spans="1:4" x14ac:dyDescent="0.25">
      <c r="A19" s="3" t="s">
        <v>42</v>
      </c>
      <c r="B19" s="9">
        <v>300000</v>
      </c>
      <c r="C19" s="3" t="s">
        <v>17</v>
      </c>
      <c r="D19" s="3" t="s">
        <v>43</v>
      </c>
    </row>
    <row r="20" spans="1:4" x14ac:dyDescent="0.25">
      <c r="A20" s="3" t="s">
        <v>44</v>
      </c>
      <c r="B20" s="9">
        <v>25000</v>
      </c>
      <c r="C20" s="3" t="s">
        <v>17</v>
      </c>
      <c r="D20" s="3" t="s">
        <v>45</v>
      </c>
    </row>
    <row r="21" spans="1:4" x14ac:dyDescent="0.25">
      <c r="A21" s="3" t="s">
        <v>46</v>
      </c>
      <c r="B21" s="9">
        <v>210000</v>
      </c>
      <c r="C21" s="3" t="s">
        <v>17</v>
      </c>
      <c r="D21" s="3" t="s">
        <v>47</v>
      </c>
    </row>
    <row r="22" spans="1:4" x14ac:dyDescent="0.25">
      <c r="A22" s="3" t="s">
        <v>48</v>
      </c>
      <c r="B22" s="9">
        <v>110000</v>
      </c>
      <c r="C22" s="3" t="s">
        <v>17</v>
      </c>
      <c r="D22" s="3" t="s">
        <v>49</v>
      </c>
    </row>
    <row r="23" spans="1:4" x14ac:dyDescent="0.25">
      <c r="A23" s="3" t="s">
        <v>50</v>
      </c>
      <c r="B23" s="9">
        <v>60000</v>
      </c>
      <c r="C23" s="3" t="s">
        <v>17</v>
      </c>
      <c r="D23" s="3" t="s">
        <v>51</v>
      </c>
    </row>
    <row r="24" spans="1:4" x14ac:dyDescent="0.25">
      <c r="A24" s="3" t="s">
        <v>52</v>
      </c>
      <c r="B24" s="9">
        <v>16000</v>
      </c>
      <c r="C24" s="3" t="s">
        <v>17</v>
      </c>
      <c r="D24" s="3" t="s">
        <v>53</v>
      </c>
    </row>
    <row r="25" spans="1:4" x14ac:dyDescent="0.25">
      <c r="A25" s="3" t="s">
        <v>54</v>
      </c>
      <c r="B25" s="9">
        <v>2</v>
      </c>
      <c r="C25" s="3" t="s">
        <v>55</v>
      </c>
      <c r="D25" s="3" t="s">
        <v>56</v>
      </c>
    </row>
    <row r="26" spans="1:4" x14ac:dyDescent="0.25">
      <c r="A26" s="3" t="s">
        <v>57</v>
      </c>
      <c r="B26" s="9">
        <v>3</v>
      </c>
      <c r="C26" s="3" t="s">
        <v>55</v>
      </c>
      <c r="D26" s="3" t="s">
        <v>58</v>
      </c>
    </row>
    <row r="27" spans="1:4" x14ac:dyDescent="0.25">
      <c r="A27" s="3" t="s">
        <v>59</v>
      </c>
      <c r="B27" s="9">
        <v>900000</v>
      </c>
      <c r="C27" s="3" t="s">
        <v>17</v>
      </c>
      <c r="D27" s="3" t="s">
        <v>60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1" style="10" customWidth="1"/>
    <col min="3" max="3" width="20" customWidth="1"/>
    <col min="4" max="4" width="12" style="10" customWidth="1"/>
    <col min="5" max="5" width="36" customWidth="1"/>
    <col min="6" max="6" width="12" customWidth="1"/>
    <col min="7" max="8" width="10" style="11" customWidth="1"/>
    <col min="9" max="9" width="12" customWidth="1"/>
    <col min="10" max="10" width="36" customWidth="1"/>
  </cols>
  <sheetData>
    <row r="1" ht="30" customHeight="1" spans="1:8" x14ac:dyDescent="0.25">
      <c r="A1" s="12" t="s">
        <v>61</v>
      </c>
      <c r="B1" s="12"/>
      <c r="C1" s="12"/>
      <c r="D1" s="12"/>
      <c r="E1" s="12"/>
      <c r="F1" s="12"/>
      <c r="G1" s="12"/>
      <c r="H1" s="12"/>
    </row>
    <row r="2" spans="1:8" x14ac:dyDescent="0.25">
      <c r="A2" s="13" t="s">
        <v>62</v>
      </c>
      <c r="B2" s="13"/>
      <c r="C2" s="13"/>
      <c r="D2" s="13"/>
      <c r="E2" s="13"/>
      <c r="F2" s="13"/>
      <c r="G2" s="13"/>
      <c r="H2" s="13"/>
    </row>
    <row r="4" spans="1:10" x14ac:dyDescent="0.25">
      <c r="A4" s="7" t="s">
        <v>63</v>
      </c>
      <c r="B4" s="14" t="s">
        <v>64</v>
      </c>
      <c r="C4" s="7" t="s">
        <v>65</v>
      </c>
      <c r="D4" s="14" t="s">
        <v>66</v>
      </c>
      <c r="E4" s="7" t="s">
        <v>67</v>
      </c>
      <c r="F4" s="7" t="s">
        <v>68</v>
      </c>
      <c r="G4" s="15" t="s">
        <v>69</v>
      </c>
      <c r="H4" s="15" t="s">
        <v>70</v>
      </c>
      <c r="I4" s="7" t="s">
        <v>71</v>
      </c>
      <c r="J4" s="7" t="s">
        <v>72</v>
      </c>
    </row>
    <row r="5" spans="1:10" x14ac:dyDescent="0.25">
      <c r="A5" s="3" t="s">
        <v>73</v>
      </c>
      <c r="B5" s="16">
        <v>0.2</v>
      </c>
      <c r="C5" s="3" t="s">
        <v>74</v>
      </c>
      <c r="D5" s="16">
        <v>0.3</v>
      </c>
      <c r="E5" s="3" t="s">
        <v>75</v>
      </c>
      <c r="F5" s="3" t="s">
        <v>76</v>
      </c>
      <c r="G5" s="17">
        <v>0.4</v>
      </c>
      <c r="H5" s="17">
        <v>-10</v>
      </c>
      <c r="I5" s="3" t="s">
        <v>77</v>
      </c>
      <c r="J5" s="3" t="s">
        <v>78</v>
      </c>
    </row>
    <row r="6" spans="1:10" x14ac:dyDescent="0.25">
      <c r="A6" s="3" t="s">
        <v>73</v>
      </c>
      <c r="B6" s="16">
        <v>0.2</v>
      </c>
      <c r="C6" s="3" t="s">
        <v>79</v>
      </c>
      <c r="D6" s="16">
        <v>0.45</v>
      </c>
      <c r="E6" s="3" t="s">
        <v>80</v>
      </c>
      <c r="F6" s="3" t="s">
        <v>76</v>
      </c>
      <c r="G6" s="17">
        <v>0.25</v>
      </c>
      <c r="H6" s="17">
        <v>-12</v>
      </c>
      <c r="I6" s="3" t="s">
        <v>77</v>
      </c>
      <c r="J6" s="3" t="s">
        <v>81</v>
      </c>
    </row>
    <row r="7" spans="1:10" x14ac:dyDescent="0.25">
      <c r="A7" s="3" t="s">
        <v>73</v>
      </c>
      <c r="B7" s="16">
        <v>0.2</v>
      </c>
      <c r="C7" s="3" t="s">
        <v>82</v>
      </c>
      <c r="D7" s="16">
        <v>0.25</v>
      </c>
      <c r="E7" s="3" t="s">
        <v>83</v>
      </c>
      <c r="F7" s="3" t="s">
        <v>76</v>
      </c>
      <c r="G7" s="17">
        <v>0.1</v>
      </c>
      <c r="H7" s="17">
        <v>-25</v>
      </c>
      <c r="I7" s="3" t="s">
        <v>77</v>
      </c>
      <c r="J7" s="3" t="s">
        <v>84</v>
      </c>
    </row>
    <row r="8" spans="1:10" x14ac:dyDescent="0.25">
      <c r="A8" s="3" t="s">
        <v>85</v>
      </c>
      <c r="B8" s="16">
        <v>0.2</v>
      </c>
      <c r="C8" s="3" t="s">
        <v>86</v>
      </c>
      <c r="D8" s="16">
        <v>0.5</v>
      </c>
      <c r="E8" s="3" t="s">
        <v>87</v>
      </c>
      <c r="F8" s="3" t="s">
        <v>88</v>
      </c>
      <c r="G8" s="17">
        <v>3</v>
      </c>
      <c r="H8" s="17">
        <v>1.1</v>
      </c>
      <c r="I8" s="3" t="s">
        <v>77</v>
      </c>
      <c r="J8" s="3" t="s">
        <v>89</v>
      </c>
    </row>
    <row r="9" spans="1:10" x14ac:dyDescent="0.25">
      <c r="A9" s="3" t="s">
        <v>85</v>
      </c>
      <c r="B9" s="16">
        <v>0.2</v>
      </c>
      <c r="C9" s="3" t="s">
        <v>90</v>
      </c>
      <c r="D9" s="16">
        <v>0.25</v>
      </c>
      <c r="E9" s="3" t="s">
        <v>91</v>
      </c>
      <c r="F9" s="3" t="s">
        <v>88</v>
      </c>
      <c r="G9" s="17">
        <v>2</v>
      </c>
      <c r="H9" s="17">
        <v>1.2</v>
      </c>
      <c r="I9" s="3" t="s">
        <v>77</v>
      </c>
      <c r="J9" s="3" t="s">
        <v>92</v>
      </c>
    </row>
    <row r="10" spans="1:10" x14ac:dyDescent="0.25">
      <c r="A10" s="3" t="s">
        <v>85</v>
      </c>
      <c r="B10" s="16">
        <v>0.2</v>
      </c>
      <c r="C10" s="3" t="s">
        <v>93</v>
      </c>
      <c r="D10" s="16">
        <v>0.25</v>
      </c>
      <c r="E10" s="3" t="s">
        <v>94</v>
      </c>
      <c r="F10" s="3" t="s">
        <v>88</v>
      </c>
      <c r="G10" s="17">
        <v>0.15</v>
      </c>
      <c r="H10" s="17">
        <v>12</v>
      </c>
      <c r="I10" s="3" t="s">
        <v>77</v>
      </c>
      <c r="J10" s="3" t="s">
        <v>95</v>
      </c>
    </row>
    <row r="11" spans="1:10" x14ac:dyDescent="0.25">
      <c r="A11" s="3" t="s">
        <v>96</v>
      </c>
      <c r="B11" s="16">
        <v>0.22</v>
      </c>
      <c r="C11" s="3" t="s">
        <v>97</v>
      </c>
      <c r="D11" s="16">
        <v>0.45</v>
      </c>
      <c r="E11" s="3" t="s">
        <v>98</v>
      </c>
      <c r="F11" s="3" t="s">
        <v>88</v>
      </c>
      <c r="G11" s="17">
        <v>0.2</v>
      </c>
      <c r="H11" s="17">
        <v>12</v>
      </c>
      <c r="I11" s="3" t="s">
        <v>77</v>
      </c>
      <c r="J11" s="3" t="s">
        <v>99</v>
      </c>
    </row>
    <row r="12" spans="1:10" x14ac:dyDescent="0.25">
      <c r="A12" s="3" t="s">
        <v>96</v>
      </c>
      <c r="B12" s="16">
        <v>0.22</v>
      </c>
      <c r="C12" s="3" t="s">
        <v>100</v>
      </c>
      <c r="D12" s="16">
        <v>0.35</v>
      </c>
      <c r="E12" s="3" t="s">
        <v>101</v>
      </c>
      <c r="F12" s="3" t="s">
        <v>88</v>
      </c>
      <c r="G12" s="17">
        <v>0.15</v>
      </c>
      <c r="H12" s="17">
        <v>12</v>
      </c>
      <c r="I12" s="3" t="s">
        <v>77</v>
      </c>
      <c r="J12" s="3" t="s">
        <v>102</v>
      </c>
    </row>
    <row r="13" spans="1:10" x14ac:dyDescent="0.25">
      <c r="A13" s="3" t="s">
        <v>96</v>
      </c>
      <c r="B13" s="16">
        <v>0.22</v>
      </c>
      <c r="C13" s="3" t="s">
        <v>103</v>
      </c>
      <c r="D13" s="16">
        <v>0.2</v>
      </c>
      <c r="E13" s="3" t="s">
        <v>104</v>
      </c>
      <c r="F13" s="3" t="s">
        <v>76</v>
      </c>
      <c r="G13" s="17">
        <v>0.6</v>
      </c>
      <c r="H13" s="17">
        <v>-8</v>
      </c>
      <c r="I13" s="3" t="s">
        <v>77</v>
      </c>
      <c r="J13" s="3" t="s">
        <v>105</v>
      </c>
    </row>
    <row r="14" spans="1:10" x14ac:dyDescent="0.25">
      <c r="A14" s="3" t="s">
        <v>106</v>
      </c>
      <c r="B14" s="16">
        <v>0.15</v>
      </c>
      <c r="C14" s="3" t="s">
        <v>107</v>
      </c>
      <c r="D14" s="16">
        <v>0.35</v>
      </c>
      <c r="E14" s="3" t="s">
        <v>108</v>
      </c>
      <c r="F14" s="3" t="s">
        <v>88</v>
      </c>
      <c r="G14" s="17">
        <v>0.35</v>
      </c>
      <c r="H14" s="17">
        <v>8</v>
      </c>
      <c r="I14" s="3" t="s">
        <v>77</v>
      </c>
      <c r="J14" s="3" t="s">
        <v>109</v>
      </c>
    </row>
    <row r="15" spans="1:10" x14ac:dyDescent="0.25">
      <c r="A15" s="3" t="s">
        <v>106</v>
      </c>
      <c r="B15" s="16">
        <v>0.15</v>
      </c>
      <c r="C15" s="3" t="s">
        <v>110</v>
      </c>
      <c r="D15" s="16">
        <v>0.35</v>
      </c>
      <c r="E15" s="3" t="s">
        <v>111</v>
      </c>
      <c r="F15" s="3" t="s">
        <v>88</v>
      </c>
      <c r="G15" s="17">
        <v>0.5</v>
      </c>
      <c r="H15" s="17">
        <v>8</v>
      </c>
      <c r="I15" s="3" t="s">
        <v>77</v>
      </c>
      <c r="J15" s="3" t="s">
        <v>112</v>
      </c>
    </row>
    <row r="16" spans="1:10" x14ac:dyDescent="0.25">
      <c r="A16" s="3" t="s">
        <v>106</v>
      </c>
      <c r="B16" s="16">
        <v>0.15</v>
      </c>
      <c r="C16" s="3" t="s">
        <v>113</v>
      </c>
      <c r="D16" s="16">
        <v>0.3</v>
      </c>
      <c r="E16" s="3" t="s">
        <v>114</v>
      </c>
      <c r="F16" s="3" t="s">
        <v>88</v>
      </c>
      <c r="G16" s="17">
        <v>0.04</v>
      </c>
      <c r="H16" s="17">
        <v>12</v>
      </c>
      <c r="I16" s="3" t="s">
        <v>77</v>
      </c>
      <c r="J16" s="3" t="s">
        <v>115</v>
      </c>
    </row>
    <row r="17" spans="1:10" x14ac:dyDescent="0.25">
      <c r="A17" s="3" t="s">
        <v>116</v>
      </c>
      <c r="B17" s="16">
        <v>0.15</v>
      </c>
      <c r="C17" s="3" t="s">
        <v>117</v>
      </c>
      <c r="D17" s="16">
        <v>0.35</v>
      </c>
      <c r="E17" s="3" t="s">
        <v>118</v>
      </c>
      <c r="F17" s="3" t="s">
        <v>88</v>
      </c>
      <c r="G17" s="17">
        <v>0.6</v>
      </c>
      <c r="H17" s="17">
        <v>8</v>
      </c>
      <c r="I17" s="3" t="s">
        <v>77</v>
      </c>
      <c r="J17" s="3" t="s">
        <v>119</v>
      </c>
    </row>
    <row r="18" spans="1:10" x14ac:dyDescent="0.25">
      <c r="A18" s="3" t="s">
        <v>116</v>
      </c>
      <c r="B18" s="16">
        <v>0.15</v>
      </c>
      <c r="C18" s="3" t="s">
        <v>120</v>
      </c>
      <c r="D18" s="16">
        <v>0.3</v>
      </c>
      <c r="E18" s="3" t="s">
        <v>121</v>
      </c>
      <c r="F18" s="3" t="s">
        <v>122</v>
      </c>
      <c r="G18" s="17">
        <v>0.05</v>
      </c>
      <c r="H18" s="17">
        <v>0</v>
      </c>
      <c r="I18" s="3" t="s">
        <v>123</v>
      </c>
      <c r="J18" s="3" t="s">
        <v>124</v>
      </c>
    </row>
    <row r="19" spans="1:10" x14ac:dyDescent="0.25">
      <c r="A19" s="3" t="s">
        <v>116</v>
      </c>
      <c r="B19" s="16">
        <v>0.15</v>
      </c>
      <c r="C19" s="3" t="s">
        <v>125</v>
      </c>
      <c r="D19" s="16">
        <v>0.35</v>
      </c>
      <c r="E19" s="3" t="s">
        <v>126</v>
      </c>
      <c r="F19" s="3" t="s">
        <v>88</v>
      </c>
      <c r="G19" s="17">
        <v>3</v>
      </c>
      <c r="H19" s="17">
        <v>0.8</v>
      </c>
      <c r="I19" s="3" t="s">
        <v>77</v>
      </c>
      <c r="J19" s="3" t="s">
        <v>127</v>
      </c>
    </row>
    <row r="20" spans="1:10" x14ac:dyDescent="0.25">
      <c r="A20" s="3" t="s">
        <v>128</v>
      </c>
      <c r="B20" s="16">
        <v>0.08</v>
      </c>
      <c r="C20" s="3" t="s">
        <v>129</v>
      </c>
      <c r="D20" s="16">
        <v>0.5</v>
      </c>
      <c r="E20" s="3" t="s">
        <v>130</v>
      </c>
      <c r="F20" s="3" t="s">
        <v>88</v>
      </c>
      <c r="G20" s="17">
        <v>0.1</v>
      </c>
      <c r="H20" s="17">
        <v>8</v>
      </c>
      <c r="I20" s="3" t="s">
        <v>77</v>
      </c>
      <c r="J20" s="3" t="s">
        <v>131</v>
      </c>
    </row>
    <row r="21" spans="1:10" x14ac:dyDescent="0.25">
      <c r="A21" s="3" t="s">
        <v>128</v>
      </c>
      <c r="B21" s="16">
        <v>0.08</v>
      </c>
      <c r="C21" s="3" t="s">
        <v>132</v>
      </c>
      <c r="D21" s="16">
        <v>0.5</v>
      </c>
      <c r="E21" s="3" t="s">
        <v>133</v>
      </c>
      <c r="F21" s="3" t="s">
        <v>88</v>
      </c>
      <c r="G21" s="17">
        <v>1</v>
      </c>
      <c r="H21" s="17">
        <v>1.1</v>
      </c>
      <c r="I21" s="3" t="s">
        <v>77</v>
      </c>
      <c r="J21" s="3" t="s">
        <v>134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2" customWidth="1"/>
    <col min="3" max="3" width="14" style="18" customWidth="1"/>
    <col min="4" max="4" width="14" customWidth="1"/>
    <col min="5" max="5" width="12" style="19" customWidth="1"/>
    <col min="6" max="6" width="10" customWidth="1"/>
    <col min="7" max="7" width="12" style="10" customWidth="1"/>
    <col min="8" max="8" width="14" style="19" customWidth="1"/>
    <col min="9" max="9" width="50" customWidth="1"/>
  </cols>
  <sheetData>
    <row r="1" ht="30" customHeight="1" spans="1:8" x14ac:dyDescent="0.25">
      <c r="A1" s="20" t="s">
        <v>135</v>
      </c>
      <c r="B1" s="20"/>
      <c r="C1" s="20"/>
      <c r="D1" s="20"/>
      <c r="E1" s="20"/>
      <c r="F1" s="20"/>
      <c r="G1" s="20"/>
      <c r="H1" s="20"/>
    </row>
    <row r="2" spans="1:8" x14ac:dyDescent="0.25">
      <c r="A2" s="21" t="s">
        <v>136</v>
      </c>
      <c r="B2" s="21"/>
      <c r="C2" s="21"/>
      <c r="D2" s="21"/>
      <c r="E2" s="21"/>
      <c r="F2" s="21"/>
      <c r="G2" s="21"/>
      <c r="H2" s="21"/>
    </row>
    <row r="4" spans="1:9" x14ac:dyDescent="0.25">
      <c r="A4" s="7" t="s">
        <v>63</v>
      </c>
      <c r="B4" s="7" t="s">
        <v>65</v>
      </c>
      <c r="C4" s="22" t="s">
        <v>137</v>
      </c>
      <c r="D4" s="7" t="s">
        <v>138</v>
      </c>
      <c r="E4" s="23" t="s">
        <v>139</v>
      </c>
      <c r="F4" s="7" t="s">
        <v>140</v>
      </c>
      <c r="G4" s="14" t="s">
        <v>66</v>
      </c>
      <c r="H4" s="23" t="s">
        <v>141</v>
      </c>
      <c r="I4" s="7" t="s">
        <v>142</v>
      </c>
    </row>
    <row r="5" spans="1:9" x14ac:dyDescent="0.25">
      <c r="A5" s="3" t="s">
        <v>73</v>
      </c>
      <c r="B5" s="3" t="s">
        <v>74</v>
      </c>
      <c r="C5" s="24">
        <f>'示例输入'!B6/'示例输入'!B5</f>
        <v>0.26666666666666666</v>
      </c>
      <c r="D5" s="3" t="s">
        <v>143</v>
      </c>
      <c r="E5" s="25">
        <f>100/(1+EXP(10*(C5-0.4)))</f>
        <v>79.13914726739551</v>
      </c>
      <c r="F5" s="3" t="str">
        <f>IF(E5&gt;=70,"绿灯",IF(E5&gt;=55,"黄灯","红灯"))</f>
        <v>绿灯</v>
      </c>
      <c r="G5" s="16">
        <v>0.3</v>
      </c>
      <c r="H5" s="25">
        <f>E5*G5</f>
        <v>23.741744180218653</v>
      </c>
      <c r="I5" s="3" t="s">
        <v>75</v>
      </c>
    </row>
    <row r="6" spans="1:9" x14ac:dyDescent="0.25">
      <c r="A6" s="3" t="s">
        <v>73</v>
      </c>
      <c r="B6" s="3" t="s">
        <v>79</v>
      </c>
      <c r="C6" s="24">
        <f>'示例输入'!B22/'示例输入'!B18</f>
        <v>0.3055555555555556</v>
      </c>
      <c r="D6" s="3" t="s">
        <v>144</v>
      </c>
      <c r="E6" s="25">
        <f>100/(1+EXP(12*(C6-0.25)))</f>
        <v>33.924363123418274</v>
      </c>
      <c r="F6" s="3" t="str">
        <f>IF(E6&gt;=70,"绿灯",IF(E6&gt;=55,"黄灯","红灯"))</f>
        <v>红灯</v>
      </c>
      <c r="G6" s="16">
        <v>0.45</v>
      </c>
      <c r="H6" s="25">
        <f>E6*G6</f>
        <v>15.265963405538225</v>
      </c>
      <c r="I6" s="3" t="s">
        <v>80</v>
      </c>
    </row>
    <row r="7" spans="1:9" x14ac:dyDescent="0.25">
      <c r="A7" s="3" t="s">
        <v>73</v>
      </c>
      <c r="B7" s="3" t="s">
        <v>82</v>
      </c>
      <c r="C7" s="24">
        <f>'示例输入'!B23/'示例输入'!B18</f>
        <v>0.16666666666666666</v>
      </c>
      <c r="D7" s="3" t="s">
        <v>145</v>
      </c>
      <c r="E7" s="25">
        <f>100/(1+EXP(25*(C7-0.1)))</f>
        <v>15.88691048809152</v>
      </c>
      <c r="F7" s="3" t="str">
        <f>IF(E7&gt;=70,"绿灯",IF(E7&gt;=55,"黄灯","红灯"))</f>
        <v>红灯</v>
      </c>
      <c r="G7" s="16">
        <v>0.25</v>
      </c>
      <c r="H7" s="25">
        <f>E7*G7</f>
        <v>3.97172762202288</v>
      </c>
      <c r="I7" s="3" t="s">
        <v>83</v>
      </c>
    </row>
    <row r="8" spans="1:9" x14ac:dyDescent="0.25">
      <c r="A8" s="3" t="s">
        <v>85</v>
      </c>
      <c r="B8" s="3" t="s">
        <v>86</v>
      </c>
      <c r="C8" s="24">
        <f>'示例输入'!B8/'示例输入'!B20</f>
        <v>2.8</v>
      </c>
      <c r="D8" s="3" t="s">
        <v>146</v>
      </c>
      <c r="E8" s="25">
        <f>100/(1+EXP(-1.1*(C8-3)))</f>
        <v>44.52207648927852</v>
      </c>
      <c r="F8" s="3" t="str">
        <f>IF(E8&gt;=70,"绿灯",IF(E8&gt;=55,"黄灯","红灯"))</f>
        <v>红灯</v>
      </c>
      <c r="G8" s="16">
        <v>0.5</v>
      </c>
      <c r="H8" s="25">
        <f>E8*G8</f>
        <v>22.26103824463926</v>
      </c>
      <c r="I8" s="3" t="s">
        <v>87</v>
      </c>
    </row>
    <row r="9" spans="1:9" x14ac:dyDescent="0.25">
      <c r="A9" s="3" t="s">
        <v>85</v>
      </c>
      <c r="B9" s="3" t="s">
        <v>90</v>
      </c>
      <c r="C9" s="24">
        <f>('示例输入'!B8-'示例输入'!B9)/'示例输入'!B20</f>
        <v>2</v>
      </c>
      <c r="D9" s="3" t="s">
        <v>147</v>
      </c>
      <c r="E9" s="25">
        <f>100/(1+EXP(-1.2*(C9-2)))</f>
        <v>50</v>
      </c>
      <c r="F9" s="3" t="str">
        <f>IF(E9&gt;=70,"绿灯",IF(E9&gt;=55,"黄灯","红灯"))</f>
        <v>红灯</v>
      </c>
      <c r="G9" s="16">
        <v>0.25</v>
      </c>
      <c r="H9" s="25">
        <f>E9*G9</f>
        <v>12.5</v>
      </c>
      <c r="I9" s="3" t="s">
        <v>91</v>
      </c>
    </row>
    <row r="10" spans="1:9" x14ac:dyDescent="0.25">
      <c r="A10" s="3" t="s">
        <v>85</v>
      </c>
      <c r="B10" s="3" t="s">
        <v>93</v>
      </c>
      <c r="C10" s="24">
        <f>'示例输入'!B8/'示例输入'!B5</f>
        <v>0.06666666666666667</v>
      </c>
      <c r="D10" s="3" t="s">
        <v>148</v>
      </c>
      <c r="E10" s="25">
        <f>100/(1+EXP(-12*(C10-0.15)))</f>
        <v>26.894142136999513</v>
      </c>
      <c r="F10" s="3" t="str">
        <f>IF(E10&gt;=70,"绿灯",IF(E10&gt;=55,"黄灯","红灯"))</f>
        <v>红灯</v>
      </c>
      <c r="G10" s="16">
        <v>0.25</v>
      </c>
      <c r="H10" s="25">
        <f>E10*G10</f>
        <v>6.723535534249878</v>
      </c>
      <c r="I10" s="3" t="s">
        <v>94</v>
      </c>
    </row>
    <row r="11" spans="1:9" x14ac:dyDescent="0.25">
      <c r="A11" s="3" t="s">
        <v>96</v>
      </c>
      <c r="B11" s="3" t="s">
        <v>97</v>
      </c>
      <c r="C11" s="24">
        <f>('示例输入'!B18-'示例输入'!B19)/'示例输入'!B18</f>
        <v>0.16666666666666666</v>
      </c>
      <c r="D11" s="3" t="s">
        <v>145</v>
      </c>
      <c r="E11" s="25">
        <f>100/(1+EXP(-12*(C11-0.2)))</f>
        <v>40.13123398875479</v>
      </c>
      <c r="F11" s="3" t="str">
        <f>IF(E11&gt;=70,"绿灯",IF(E11&gt;=55,"黄灯","红灯"))</f>
        <v>红灯</v>
      </c>
      <c r="G11" s="16">
        <v>0.45</v>
      </c>
      <c r="H11" s="25">
        <f>E11*G11</f>
        <v>18.059055294939657</v>
      </c>
      <c r="I11" s="3" t="s">
        <v>98</v>
      </c>
    </row>
    <row r="12" spans="1:9" x14ac:dyDescent="0.25">
      <c r="A12" s="3" t="s">
        <v>96</v>
      </c>
      <c r="B12" s="3" t="s">
        <v>100</v>
      </c>
      <c r="C12" s="24">
        <f>('示例输入'!B18-'示例输入'!B21-'示例输入'!B22)/'示例输入'!B18</f>
        <v>0.1111111111111111</v>
      </c>
      <c r="D12" s="3" t="s">
        <v>149</v>
      </c>
      <c r="E12" s="25">
        <f>100/(1+EXP(-12*(C12-0.15)))</f>
        <v>38.54055017324505</v>
      </c>
      <c r="F12" s="3" t="str">
        <f>IF(E12&gt;=70,"绿灯",IF(E12&gt;=55,"黄灯","红灯"))</f>
        <v>红灯</v>
      </c>
      <c r="G12" s="16">
        <v>0.35</v>
      </c>
      <c r="H12" s="25">
        <f>E12*G12</f>
        <v>13.489192560635768</v>
      </c>
      <c r="I12" s="3" t="s">
        <v>101</v>
      </c>
    </row>
    <row r="13" spans="1:9" x14ac:dyDescent="0.25">
      <c r="A13" s="3" t="s">
        <v>96</v>
      </c>
      <c r="B13" s="3" t="s">
        <v>103</v>
      </c>
      <c r="C13" s="24">
        <f>'示例输入'!B21/'示例输入'!B19</f>
        <v>0.7</v>
      </c>
      <c r="D13" s="3" t="s">
        <v>150</v>
      </c>
      <c r="E13" s="25">
        <f>100/(1+EXP(8*(C13-0.6)))</f>
        <v>31.002551887238756</v>
      </c>
      <c r="F13" s="3" t="str">
        <f>IF(E13&gt;=70,"绿灯",IF(E13&gt;=55,"黄灯","红灯"))</f>
        <v>红灯</v>
      </c>
      <c r="G13" s="16">
        <v>0.2</v>
      </c>
      <c r="H13" s="25">
        <f>E13*G13</f>
        <v>6.200510377447752</v>
      </c>
      <c r="I13" s="3" t="s">
        <v>104</v>
      </c>
    </row>
    <row r="14" spans="1:9" x14ac:dyDescent="0.25">
      <c r="A14" s="3" t="s">
        <v>106</v>
      </c>
      <c r="B14" s="3" t="s">
        <v>107</v>
      </c>
      <c r="C14" s="24">
        <f>'示例输入'!B10/'示例输入'!B5</f>
        <v>0.24761904761904763</v>
      </c>
      <c r="D14" s="3" t="s">
        <v>151</v>
      </c>
      <c r="E14" s="25">
        <f>100/(1+EXP(-8*(C14-0.35)))</f>
        <v>30.596586132339784</v>
      </c>
      <c r="F14" s="3" t="str">
        <f>IF(E14&gt;=70,"绿灯",IF(E14&gt;=55,"黄灯","红灯"))</f>
        <v>红灯</v>
      </c>
      <c r="G14" s="16">
        <v>0.35</v>
      </c>
      <c r="H14" s="25">
        <f>E14*G14</f>
        <v>10.708805146318923</v>
      </c>
      <c r="I14" s="3" t="s">
        <v>108</v>
      </c>
    </row>
    <row r="15" spans="1:9" x14ac:dyDescent="0.25">
      <c r="A15" s="3" t="s">
        <v>106</v>
      </c>
      <c r="B15" s="3" t="s">
        <v>110</v>
      </c>
      <c r="C15" s="24">
        <f>'示例输入'!B12/'示例输入'!B11</f>
        <v>0.696969696969697</v>
      </c>
      <c r="D15" s="3" t="s">
        <v>152</v>
      </c>
      <c r="E15" s="25">
        <f>100/(1+EXP(-8*(C15-0.5)))</f>
        <v>82.86028478466567</v>
      </c>
      <c r="F15" s="3" t="str">
        <f>IF(E15&gt;=70,"绿灯",IF(E15&gt;=55,"黄灯","红灯"))</f>
        <v>绿灯</v>
      </c>
      <c r="G15" s="16">
        <v>0.35</v>
      </c>
      <c r="H15" s="25">
        <f>E15*G15</f>
        <v>29.001099674632982</v>
      </c>
      <c r="I15" s="3" t="s">
        <v>111</v>
      </c>
    </row>
    <row r="16" spans="1:9" x14ac:dyDescent="0.25">
      <c r="A16" s="3" t="s">
        <v>106</v>
      </c>
      <c r="B16" s="3" t="s">
        <v>113</v>
      </c>
      <c r="C16" s="24">
        <f>'示例输入'!B14/'示例输入'!B15</f>
        <v>0.05217391304347826</v>
      </c>
      <c r="D16" s="3" t="s">
        <v>153</v>
      </c>
      <c r="E16" s="25">
        <f>100/(1+EXP(-12*(C16-0.04)))</f>
        <v>53.64569253650587</v>
      </c>
      <c r="F16" s="3" t="str">
        <f>IF(E16&gt;=70,"绿灯",IF(E16&gt;=55,"黄灯","红灯"))</f>
        <v>红灯</v>
      </c>
      <c r="G16" s="16">
        <v>0.3</v>
      </c>
      <c r="H16" s="25">
        <f>E16*G16</f>
        <v>16.09370776095176</v>
      </c>
      <c r="I16" s="3" t="s">
        <v>114</v>
      </c>
    </row>
    <row r="17" spans="1:9" x14ac:dyDescent="0.25">
      <c r="A17" s="3" t="s">
        <v>116</v>
      </c>
      <c r="B17" s="3" t="s">
        <v>117</v>
      </c>
      <c r="C17" s="24">
        <f>'示例输入'!B25/'示例输入'!B26</f>
        <v>0.6666666666666666</v>
      </c>
      <c r="D17" s="3" t="s">
        <v>154</v>
      </c>
      <c r="E17" s="25">
        <f>100/(1+EXP(-8*(C17-0.6)))</f>
        <v>63.02602229177513</v>
      </c>
      <c r="F17" s="3" t="str">
        <f>IF(E17&gt;=70,"绿灯",IF(E17&gt;=55,"黄灯","红灯"))</f>
        <v>黄灯</v>
      </c>
      <c r="G17" s="16">
        <v>0.35</v>
      </c>
      <c r="H17" s="25">
        <f>E17*G17</f>
        <v>22.059107802121293</v>
      </c>
      <c r="I17" s="3" t="s">
        <v>118</v>
      </c>
    </row>
    <row r="18" spans="1:9" x14ac:dyDescent="0.25">
      <c r="A18" s="3" t="s">
        <v>116</v>
      </c>
      <c r="B18" s="3" t="s">
        <v>120</v>
      </c>
      <c r="C18" s="24">
        <f>'示例输入'!B24/'示例输入'!B18</f>
        <v>0.044444444444444446</v>
      </c>
      <c r="D18" s="3" t="s">
        <v>155</v>
      </c>
      <c r="E18" s="25">
        <f>IF(C18&lt;0.05,100/(1+EXP(-50*(C18-0.05))),IF(C18&lt;=0.12,95,IF(C18&lt;=0.2,95-(C18-0.12)/0.08*35,MAX(20,60-(C18-0.2)/0.1*40))))</f>
        <v>43.09986674318095</v>
      </c>
      <c r="F18" s="3" t="str">
        <f>IF(E18&gt;=70,"绿灯",IF(E18&gt;=55,"黄灯","红灯"))</f>
        <v>红灯</v>
      </c>
      <c r="G18" s="16">
        <v>0.3</v>
      </c>
      <c r="H18" s="25">
        <f>E18*G18</f>
        <v>12.929960022954283</v>
      </c>
      <c r="I18" s="3" t="s">
        <v>121</v>
      </c>
    </row>
    <row r="19" spans="1:9" x14ac:dyDescent="0.25">
      <c r="A19" s="3" t="s">
        <v>116</v>
      </c>
      <c r="B19" s="3" t="s">
        <v>125</v>
      </c>
      <c r="C19" s="24">
        <f>'示例输入'!B27/('示例输入'!B20*12)</f>
        <v>3</v>
      </c>
      <c r="D19" s="3" t="s">
        <v>156</v>
      </c>
      <c r="E19" s="25">
        <f>100/(1+EXP(-0.8*(C19-3)))</f>
        <v>50</v>
      </c>
      <c r="F19" s="3" t="str">
        <f>IF(E19&gt;=70,"绿灯",IF(E19&gt;=55,"黄灯","红灯"))</f>
        <v>红灯</v>
      </c>
      <c r="G19" s="16">
        <v>0.35</v>
      </c>
      <c r="H19" s="25">
        <f>E19*G19</f>
        <v>17.5</v>
      </c>
      <c r="I19" s="3" t="s">
        <v>126</v>
      </c>
    </row>
    <row r="20" spans="1:9" x14ac:dyDescent="0.25">
      <c r="A20" s="3" t="s">
        <v>128</v>
      </c>
      <c r="B20" s="3" t="s">
        <v>129</v>
      </c>
      <c r="C20" s="24">
        <f>'示例输入'!B13/'示例输入'!B19</f>
        <v>0.04</v>
      </c>
      <c r="D20" s="3" t="s">
        <v>157</v>
      </c>
      <c r="E20" s="25">
        <f>100/(1+EXP(-8*(C20-0.1)))</f>
        <v>38.2252125230751</v>
      </c>
      <c r="F20" s="3" t="str">
        <f>IF(E20&gt;=70,"绿灯",IF(E20&gt;=55,"黄灯","红灯"))</f>
        <v>红灯</v>
      </c>
      <c r="G20" s="16">
        <v>0.5</v>
      </c>
      <c r="H20" s="25">
        <f>E20*G20</f>
        <v>19.11260626153755</v>
      </c>
      <c r="I20" s="3" t="s">
        <v>130</v>
      </c>
    </row>
    <row r="21" spans="1:9" x14ac:dyDescent="0.25">
      <c r="A21" s="3" t="s">
        <v>128</v>
      </c>
      <c r="B21" s="3" t="s">
        <v>132</v>
      </c>
      <c r="C21" s="24">
        <f>'示例输入'!B7/'示例输入'!B19</f>
        <v>2.566666666666667</v>
      </c>
      <c r="D21" s="3" t="s">
        <v>158</v>
      </c>
      <c r="E21" s="25">
        <f>100/(1+EXP(-1.1*(C21-1)))</f>
        <v>84.85576926664301</v>
      </c>
      <c r="F21" s="3" t="str">
        <f>IF(E21&gt;=70,"绿灯",IF(E21&gt;=55,"黄灯","红灯"))</f>
        <v>绿灯</v>
      </c>
      <c r="G21" s="16">
        <v>0.5</v>
      </c>
      <c r="H21" s="25">
        <f>E21*G21</f>
        <v>42.427884633321504</v>
      </c>
      <c r="I21" s="3" t="s">
        <v>133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2" style="10" customWidth="1"/>
    <col min="3" max="3" width="13" style="19" customWidth="1"/>
    <col min="4" max="4" width="10" customWidth="1"/>
    <col min="5" max="5" width="46" customWidth="1"/>
    <col min="6" max="6" width="18" customWidth="1"/>
  </cols>
  <sheetData>
    <row r="1" ht="30" customHeight="1" spans="1:8" x14ac:dyDescent="0.25">
      <c r="A1" s="20" t="s">
        <v>159</v>
      </c>
      <c r="B1" s="20"/>
      <c r="C1" s="20"/>
      <c r="D1" s="20"/>
      <c r="E1" s="20"/>
      <c r="F1" s="20"/>
      <c r="G1" s="20"/>
      <c r="H1" s="20"/>
    </row>
    <row r="2" spans="1:8" x14ac:dyDescent="0.25">
      <c r="A2" s="21" t="s">
        <v>160</v>
      </c>
      <c r="B2" s="21"/>
      <c r="C2" s="21"/>
      <c r="D2" s="21"/>
      <c r="E2" s="21"/>
      <c r="F2" s="21"/>
      <c r="G2" s="21"/>
      <c r="H2" s="21"/>
    </row>
    <row r="4" spans="1:6" x14ac:dyDescent="0.25">
      <c r="A4" s="26">
        <f>SUMPRODUCT(B8:B13,C8:C13)</f>
        <v>46.4</v>
      </c>
      <c r="B4" s="26"/>
      <c r="C4" s="27" t="str">
        <f>IF(A4&gt;=70,"绿灯",IF(A4&gt;=55,"黄灯","红灯"))</f>
        <v>红灯</v>
      </c>
      <c r="D4" s="3" t="s">
        <v>161</v>
      </c>
      <c r="E4" s="3"/>
      <c r="F4" s="3"/>
    </row>
    <row r="5" spans="1:6" x14ac:dyDescent="0.25">
      <c r="A5" s="26"/>
      <c r="B5" s="26"/>
      <c r="C5" s="19"/>
      <c r="D5" s="3"/>
      <c r="E5" s="3"/>
      <c r="F5" s="3"/>
    </row>
    <row r="7" spans="1:6" x14ac:dyDescent="0.25">
      <c r="A7" s="7" t="s">
        <v>63</v>
      </c>
      <c r="B7" s="14" t="s">
        <v>162</v>
      </c>
      <c r="C7" s="23" t="s">
        <v>163</v>
      </c>
      <c r="D7" s="7" t="s">
        <v>140</v>
      </c>
      <c r="E7" s="7" t="s">
        <v>164</v>
      </c>
      <c r="F7" s="7" t="s">
        <v>165</v>
      </c>
    </row>
    <row r="8" spans="1:6" x14ac:dyDescent="0.25">
      <c r="A8" s="3" t="s">
        <v>96</v>
      </c>
      <c r="B8" s="16">
        <v>0.22</v>
      </c>
      <c r="C8" s="25">
        <f>SUMIFS('评分计算'!H:H,'评分计算'!A:A,A8)</f>
        <v>37.748758233023175</v>
      </c>
      <c r="D8" s="3" t="str">
        <f>IF(C8&gt;=70,"绿灯",IF(C8&gt;=55,"黄灯","红灯"))</f>
        <v>红灯</v>
      </c>
      <c r="E8" s="3" t="s">
        <v>166</v>
      </c>
      <c r="F8" s="28" t="s">
        <v>167</v>
      </c>
    </row>
    <row r="9" spans="1:6" x14ac:dyDescent="0.25">
      <c r="A9" s="3" t="s">
        <v>85</v>
      </c>
      <c r="B9" s="16">
        <v>0.2</v>
      </c>
      <c r="C9" s="25">
        <f>SUMIFS('评分计算'!H:H,'评分计算'!A:A,A9)</f>
        <v>41.484573778889136</v>
      </c>
      <c r="D9" s="3" t="str">
        <f>IF(C9&gt;=70,"绿灯",IF(C9&gt;=55,"黄灯","红灯"))</f>
        <v>红灯</v>
      </c>
      <c r="E9" s="3" t="s">
        <v>168</v>
      </c>
      <c r="F9" s="29" t="s">
        <v>167</v>
      </c>
    </row>
    <row r="10" spans="1:6" x14ac:dyDescent="0.25">
      <c r="A10" s="3" t="s">
        <v>73</v>
      </c>
      <c r="B10" s="16">
        <v>0.2</v>
      </c>
      <c r="C10" s="25">
        <f>SUMIFS('评分计算'!H:H,'评分计算'!A:A,A10)</f>
        <v>42.97943520777976</v>
      </c>
      <c r="D10" s="3" t="str">
        <f>IF(C10&gt;=70,"绿灯",IF(C10&gt;=55,"黄灯","红灯"))</f>
        <v>红灯</v>
      </c>
      <c r="E10" s="3" t="s">
        <v>169</v>
      </c>
      <c r="F10" s="30" t="s">
        <v>167</v>
      </c>
    </row>
    <row r="11" spans="1:6" x14ac:dyDescent="0.25">
      <c r="A11" s="3" t="s">
        <v>116</v>
      </c>
      <c r="B11" s="16">
        <v>0.15</v>
      </c>
      <c r="C11" s="25">
        <f>SUMIFS('评分计算'!H:H,'评分计算'!A:A,A11)</f>
        <v>52.48906782507558</v>
      </c>
      <c r="D11" s="3" t="str">
        <f>IF(C11&gt;=70,"绿灯",IF(C11&gt;=55,"黄灯","红灯"))</f>
        <v>红灯</v>
      </c>
      <c r="E11" s="3" t="s">
        <v>170</v>
      </c>
      <c r="F11" s="31" t="s">
        <v>167</v>
      </c>
    </row>
    <row r="12" spans="1:6" x14ac:dyDescent="0.25">
      <c r="A12" s="3" t="s">
        <v>106</v>
      </c>
      <c r="B12" s="16">
        <v>0.15</v>
      </c>
      <c r="C12" s="25">
        <f>SUMIFS('评分计算'!H:H,'评分计算'!A:A,A12)</f>
        <v>55.803612581903664</v>
      </c>
      <c r="D12" s="3" t="str">
        <f>IF(C12&gt;=70,"绿灯",IF(C12&gt;=55,"黄灯","红灯"))</f>
        <v>黄灯</v>
      </c>
      <c r="E12" s="3" t="s">
        <v>171</v>
      </c>
      <c r="F12" s="32" t="s">
        <v>167</v>
      </c>
    </row>
    <row r="13" spans="1:6" x14ac:dyDescent="0.25">
      <c r="A13" s="3" t="s">
        <v>128</v>
      </c>
      <c r="B13" s="16">
        <v>0.08</v>
      </c>
      <c r="C13" s="25">
        <f>SUMIFS('评分计算'!H:H,'评分计算'!A:A,A13)</f>
        <v>61.540490894859055</v>
      </c>
      <c r="D13" s="3" t="str">
        <f>IF(C13&gt;=70,"绿灯",IF(C13&gt;=55,"黄灯","红灯"))</f>
        <v>黄灯</v>
      </c>
      <c r="E13" s="3" t="s">
        <v>172</v>
      </c>
      <c r="F13" s="33" t="s">
        <v>167</v>
      </c>
    </row>
  </sheetData>
  <mergeCells count="4">
    <mergeCell ref="A1:H1"/>
    <mergeCell ref="A2:H2"/>
    <mergeCell ref="A4:B5"/>
    <mergeCell ref="D4:F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4" width="36" customWidth="1"/>
    <col min="5" max="6" width="52" customWidth="1"/>
    <col min="7" max="7" width="10" customWidth="1"/>
  </cols>
  <sheetData>
    <row r="1" ht="30" customHeight="1" spans="1:8" x14ac:dyDescent="0.25">
      <c r="A1" s="1" t="s">
        <v>173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174</v>
      </c>
      <c r="B2" s="2"/>
      <c r="C2" s="2"/>
      <c r="D2" s="2"/>
      <c r="E2" s="2"/>
      <c r="F2" s="2"/>
      <c r="G2" s="2"/>
      <c r="H2" s="2"/>
    </row>
    <row r="4" spans="1:7" x14ac:dyDescent="0.25">
      <c r="A4" s="7" t="s">
        <v>175</v>
      </c>
      <c r="B4" s="7" t="s">
        <v>176</v>
      </c>
      <c r="C4" s="7" t="s">
        <v>177</v>
      </c>
      <c r="D4" s="7" t="s">
        <v>178</v>
      </c>
      <c r="E4" s="7" t="s">
        <v>179</v>
      </c>
      <c r="F4" s="7" t="s">
        <v>180</v>
      </c>
      <c r="G4" s="7" t="s">
        <v>181</v>
      </c>
    </row>
    <row r="5" spans="1:7" x14ac:dyDescent="0.25">
      <c r="A5" s="3" t="s">
        <v>182</v>
      </c>
      <c r="B5" s="3" t="s">
        <v>183</v>
      </c>
      <c r="C5" s="3" t="s">
        <v>184</v>
      </c>
      <c r="D5" s="3" t="s">
        <v>185</v>
      </c>
      <c r="E5" s="3" t="s">
        <v>186</v>
      </c>
      <c r="F5" s="3" t="s">
        <v>187</v>
      </c>
      <c r="G5" s="3" t="str">
        <f>IF(OR('六维总览'!C8&lt;60,'评分计算'!C12&lt;0.1),"是","否")</f>
        <v>是</v>
      </c>
    </row>
    <row r="6" spans="1:7" x14ac:dyDescent="0.25">
      <c r="A6" s="3" t="s">
        <v>188</v>
      </c>
      <c r="B6" s="3" t="s">
        <v>189</v>
      </c>
      <c r="C6" s="3" t="s">
        <v>190</v>
      </c>
      <c r="D6" s="3" t="s">
        <v>191</v>
      </c>
      <c r="E6" s="3" t="s">
        <v>192</v>
      </c>
      <c r="F6" s="3" t="s">
        <v>193</v>
      </c>
      <c r="G6" s="3" t="str">
        <f>IF(AND('评分计算'!C11&lt;0.1,'评分计算'!C8&lt;3),"是","否")</f>
        <v>否</v>
      </c>
    </row>
    <row r="7" spans="1:7" x14ac:dyDescent="0.25">
      <c r="A7" s="3" t="s">
        <v>182</v>
      </c>
      <c r="B7" s="3" t="s">
        <v>194</v>
      </c>
      <c r="C7" s="3" t="s">
        <v>195</v>
      </c>
      <c r="D7" s="3" t="s">
        <v>196</v>
      </c>
      <c r="E7" s="3" t="s">
        <v>197</v>
      </c>
      <c r="F7" s="3" t="s">
        <v>198</v>
      </c>
      <c r="G7" s="3" t="str">
        <f>IF(OR('评分计算'!C6&gt;0.3,'评分计算'!C7&gt;0.1),"是","否")</f>
        <v>是</v>
      </c>
    </row>
    <row r="8" spans="1:7" x14ac:dyDescent="0.25">
      <c r="A8" s="3" t="s">
        <v>188</v>
      </c>
      <c r="B8" s="3" t="s">
        <v>199</v>
      </c>
      <c r="C8" s="3" t="s">
        <v>200</v>
      </c>
      <c r="D8" s="3" t="s">
        <v>201</v>
      </c>
      <c r="E8" s="3" t="s">
        <v>202</v>
      </c>
      <c r="F8" s="3" t="s">
        <v>203</v>
      </c>
      <c r="G8" s="3" t="str">
        <f>IF(AND('评分计算'!C6&gt;0.3,'评分计算'!C15&lt;0.5),"是","否")</f>
        <v>否</v>
      </c>
    </row>
    <row r="9" spans="1:7" x14ac:dyDescent="0.25">
      <c r="A9" s="3" t="s">
        <v>182</v>
      </c>
      <c r="B9" s="3" t="s">
        <v>204</v>
      </c>
      <c r="C9" s="3" t="s">
        <v>205</v>
      </c>
      <c r="D9" s="3" t="s">
        <v>206</v>
      </c>
      <c r="E9" s="3" t="s">
        <v>207</v>
      </c>
      <c r="F9" s="3" t="s">
        <v>208</v>
      </c>
      <c r="G9" s="3" t="str">
        <f>IF(AND('评分计算'!C17&lt;0.6,'评分计算'!C8&lt;3),"是","否")</f>
        <v>否</v>
      </c>
    </row>
    <row r="10" spans="1:7" x14ac:dyDescent="0.25">
      <c r="A10" s="3" t="s">
        <v>188</v>
      </c>
      <c r="B10" s="3" t="s">
        <v>209</v>
      </c>
      <c r="C10" s="3" t="s">
        <v>210</v>
      </c>
      <c r="D10" s="3" t="s">
        <v>211</v>
      </c>
      <c r="E10" s="3" t="s">
        <v>212</v>
      </c>
      <c r="F10" s="3" t="s">
        <v>213</v>
      </c>
      <c r="G10" s="3" t="str">
        <f>IF(AND('评分计算'!C8&lt;3,'评分计算'!C15&gt;0.5),"是","否")</f>
        <v>是</v>
      </c>
    </row>
    <row r="11" spans="1:7" x14ac:dyDescent="0.25">
      <c r="A11" s="3" t="s">
        <v>214</v>
      </c>
      <c r="B11" s="3" t="s">
        <v>215</v>
      </c>
      <c r="C11" s="3" t="s">
        <v>216</v>
      </c>
      <c r="D11" s="3" t="s">
        <v>217</v>
      </c>
      <c r="E11" s="3" t="s">
        <v>218</v>
      </c>
      <c r="F11" s="3" t="s">
        <v>219</v>
      </c>
      <c r="G11" s="3" t="str">
        <f>IF(AND('六维总览'!C12&lt;60,'评分计算'!C20&lt;0.1),"是","否")</f>
        <v>是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8" customWidth="1"/>
    <col min="3" max="3" width="28" customWidth="1"/>
    <col min="4" max="4" width="55" customWidth="1"/>
    <col min="5" max="5" width="42" customWidth="1"/>
  </cols>
  <sheetData>
    <row r="1" ht="30" customHeight="1" spans="1:8" x14ac:dyDescent="0.25">
      <c r="A1" s="1" t="s">
        <v>220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221</v>
      </c>
      <c r="B2" s="2"/>
      <c r="C2" s="2"/>
      <c r="D2" s="2"/>
      <c r="E2" s="2"/>
      <c r="F2" s="2"/>
      <c r="G2" s="2"/>
      <c r="H2" s="2"/>
    </row>
    <row r="4" spans="1:5" x14ac:dyDescent="0.25">
      <c r="A4" s="7" t="s">
        <v>222</v>
      </c>
      <c r="B4" s="7" t="s">
        <v>223</v>
      </c>
      <c r="C4" s="7" t="s">
        <v>177</v>
      </c>
      <c r="D4" s="7" t="s">
        <v>224</v>
      </c>
      <c r="E4" s="7" t="s">
        <v>225</v>
      </c>
    </row>
    <row r="5" spans="1:5" x14ac:dyDescent="0.25">
      <c r="A5" s="3">
        <v>1</v>
      </c>
      <c r="B5" s="3" t="s">
        <v>226</v>
      </c>
      <c r="C5" s="3" t="s">
        <v>227</v>
      </c>
      <c r="D5" s="3" t="s">
        <v>228</v>
      </c>
      <c r="E5" s="3" t="s">
        <v>229</v>
      </c>
    </row>
    <row r="6" spans="1:5" x14ac:dyDescent="0.25">
      <c r="A6" s="3">
        <v>1</v>
      </c>
      <c r="B6" s="3" t="s">
        <v>85</v>
      </c>
      <c r="C6" s="3" t="s">
        <v>230</v>
      </c>
      <c r="D6" s="3" t="s">
        <v>231</v>
      </c>
      <c r="E6" s="3" t="s">
        <v>232</v>
      </c>
    </row>
    <row r="7" spans="1:5" x14ac:dyDescent="0.25">
      <c r="A7" s="3">
        <v>1</v>
      </c>
      <c r="B7" s="3" t="s">
        <v>233</v>
      </c>
      <c r="C7" s="3" t="s">
        <v>234</v>
      </c>
      <c r="D7" s="3" t="s">
        <v>235</v>
      </c>
      <c r="E7" s="3" t="s">
        <v>236</v>
      </c>
    </row>
    <row r="8" spans="1:5" x14ac:dyDescent="0.25">
      <c r="A8" s="3">
        <v>2</v>
      </c>
      <c r="B8" s="3" t="s">
        <v>237</v>
      </c>
      <c r="C8" s="3" t="s">
        <v>238</v>
      </c>
      <c r="D8" s="3" t="s">
        <v>239</v>
      </c>
      <c r="E8" s="3" t="s">
        <v>240</v>
      </c>
    </row>
    <row r="9" spans="1:5" x14ac:dyDescent="0.25">
      <c r="A9" s="3">
        <v>3</v>
      </c>
      <c r="B9" s="3" t="s">
        <v>241</v>
      </c>
      <c r="C9" s="3" t="s">
        <v>242</v>
      </c>
      <c r="D9" s="3" t="s">
        <v>243</v>
      </c>
      <c r="E9" s="3" t="s">
        <v>244</v>
      </c>
    </row>
    <row r="10" spans="1:5" x14ac:dyDescent="0.25">
      <c r="A10" s="3">
        <v>4</v>
      </c>
      <c r="B10" s="3" t="s">
        <v>245</v>
      </c>
      <c r="C10" s="3" t="s">
        <v>246</v>
      </c>
      <c r="D10" s="3" t="s">
        <v>247</v>
      </c>
      <c r="E10" s="3" t="s">
        <v>248</v>
      </c>
    </row>
    <row r="11" spans="1:5" x14ac:dyDescent="0.25">
      <c r="A11" s="3">
        <v>5</v>
      </c>
      <c r="B11" s="3" t="s">
        <v>249</v>
      </c>
      <c r="C11" s="3" t="s">
        <v>250</v>
      </c>
      <c r="D11" s="3" t="s">
        <v>251</v>
      </c>
      <c r="E11" s="3" t="s">
        <v>252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示例输入</vt:lpstr>
      <vt:lpstr>指标参数</vt:lpstr>
      <vt:lpstr>评分计算</vt:lpstr>
      <vt:lpstr>六维总览</vt:lpstr>
      <vt:lpstr>连锁诊断</vt:lpstr>
      <vt:lpstr>建议库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2026-05-19T17:24:55Z</dcterms:created>
  <dcterms:modified xsi:type="dcterms:W3CDTF">2026-05-19T17:24:55Z</dcterms:modified>
</cp:coreProperties>
</file>